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23493\Other\SAP\PU5_HANA\"/>
    </mc:Choice>
  </mc:AlternateContent>
  <xr:revisionPtr revIDLastSave="0" documentId="8_{F6EEC4AF-A61A-4BF4-89D3-04D59AE73B7D}" xr6:coauthVersionLast="47" xr6:coauthVersionMax="47" xr10:uidLastSave="{00000000-0000-0000-0000-000000000000}"/>
  <bookViews>
    <workbookView xWindow="-120" yWindow="-120" windowWidth="29040" windowHeight="15720" xr2:uid="{8247BE51-E77F-4ACC-8018-FC11C1726586}"/>
  </bookViews>
  <sheets>
    <sheet name="ZPRT_DOC_LOG" sheetId="1" r:id="rId1"/>
    <sheet name="ZPRT_DCQM" sheetId="2" r:id="rId2"/>
    <sheet name="ZPRT_DOC_SLOG" sheetId="3" r:id="rId3"/>
    <sheet name="ZPRT_DOC_ERROR" sheetId="4" r:id="rId4"/>
    <sheet name="ZPRT_EMAIL_SLOG" sheetId="5" r:id="rId5"/>
    <sheet name="ZPRT_STOCK" sheetId="6" r:id="rId6"/>
    <sheet name="ZPRT_ARC_DOC_MA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7" l="1"/>
  <c r="F17" i="6"/>
  <c r="F6" i="4"/>
  <c r="F6" i="3"/>
  <c r="F39" i="2"/>
  <c r="F10" i="5"/>
  <c r="F19" i="1"/>
</calcChain>
</file>

<file path=xl/sharedStrings.xml><?xml version="1.0" encoding="utf-8"?>
<sst xmlns="http://schemas.openxmlformats.org/spreadsheetml/2006/main" count="420" uniqueCount="234">
  <si>
    <t>MANDT</t>
  </si>
  <si>
    <t>EXBILLDOCNO</t>
  </si>
  <si>
    <t>OPBEL</t>
  </si>
  <si>
    <t>FCCNU</t>
  </si>
  <si>
    <t>DOC_TYPE</t>
  </si>
  <si>
    <t>DESTINATION</t>
  </si>
  <si>
    <t>TO_DIG_SIGN</t>
  </si>
  <si>
    <t>TO_ARCHIVE</t>
  </si>
  <si>
    <t>ONLY_ARCHIVE</t>
  </si>
  <si>
    <t>BUKRS</t>
  </si>
  <si>
    <t>GPART</t>
  </si>
  <si>
    <t>VKONT</t>
  </si>
  <si>
    <t>SPARTE</t>
  </si>
  <si>
    <t>AKTYP</t>
  </si>
  <si>
    <t>LAUFD</t>
  </si>
  <si>
    <t>LAUFI</t>
  </si>
  <si>
    <t>TDDEST</t>
  </si>
  <si>
    <t>PRDSTOCK</t>
  </si>
  <si>
    <t>PRDSPOOL</t>
  </si>
  <si>
    <t>PRDFILE</t>
  </si>
  <si>
    <t>Mező</t>
  </si>
  <si>
    <t>Kulcs</t>
  </si>
  <si>
    <t>Adatelem</t>
  </si>
  <si>
    <t>Adattípus</t>
  </si>
  <si>
    <t>Hossz</t>
  </si>
  <si>
    <t>X</t>
  </si>
  <si>
    <t>E_PRINTDOC</t>
  </si>
  <si>
    <t>CHAR</t>
  </si>
  <si>
    <t>CLNT</t>
  </si>
  <si>
    <t>ZEBFD_PR_DESTINATION</t>
  </si>
  <si>
    <t>SWW_RETCNT</t>
  </si>
  <si>
    <t>NUMC</t>
  </si>
  <si>
    <t>Dokumentumfajta</t>
  </si>
  <si>
    <t>Rövid leírás</t>
  </si>
  <si>
    <t>Mandant</t>
  </si>
  <si>
    <t>Nyomtatási bizonylat száma</t>
  </si>
  <si>
    <t>Ismétlésszámláló</t>
  </si>
  <si>
    <t>Nyomtatási egyedi azonosító</t>
  </si>
  <si>
    <t>Nyomtatási csatorna</t>
  </si>
  <si>
    <t>ZPRD_DOC_NO</t>
  </si>
  <si>
    <t>ZPRD_DOC_TYPE</t>
  </si>
  <si>
    <t>ZPRD_TO_DIG_SIGN</t>
  </si>
  <si>
    <t>ZPRD_TO_ARCHIVE</t>
  </si>
  <si>
    <t>ZPRD_ONLY_ARCHIVE</t>
  </si>
  <si>
    <t>ZPRD_ENVELOPE_ID</t>
  </si>
  <si>
    <t>Csak archiválandó</t>
  </si>
  <si>
    <t>Archiválandó</t>
  </si>
  <si>
    <t>Digitálisan aláírandó</t>
  </si>
  <si>
    <t>Vállalat</t>
  </si>
  <si>
    <t>BU_PARTNER</t>
  </si>
  <si>
    <t>VKONT_KK</t>
  </si>
  <si>
    <t>AKTYP_KK</t>
  </si>
  <si>
    <t>LAUFD_KK</t>
  </si>
  <si>
    <t>LAUFI_KK</t>
  </si>
  <si>
    <t>Szerződéses folyószámla száma</t>
  </si>
  <si>
    <t>Üzleti partner száma</t>
  </si>
  <si>
    <t>Termékcsoport</t>
  </si>
  <si>
    <t>Tömeges tevékenység fajtája</t>
  </si>
  <si>
    <t>Dátumazonosító</t>
  </si>
  <si>
    <t>Kiegészítő azonosítójellemző</t>
  </si>
  <si>
    <t>DATS</t>
  </si>
  <si>
    <t>Értékkészlet: [BIPR, COPR, MANU]</t>
  </si>
  <si>
    <t>RSPOPNAME</t>
  </si>
  <si>
    <t>Spool: kiviteli eszköz</t>
  </si>
  <si>
    <t>INT4</t>
  </si>
  <si>
    <t>ZPRD_PACKAGE_ID</t>
  </si>
  <si>
    <t>PACKAGE_ID</t>
  </si>
  <si>
    <t>Stock ID</t>
  </si>
  <si>
    <t>Nyomtatási csomag azonosító (spool)</t>
  </si>
  <si>
    <t>ZEDMD_PRDSPOOL</t>
  </si>
  <si>
    <t>ZEDMD_PRDFILE</t>
  </si>
  <si>
    <t>PRD File</t>
  </si>
  <si>
    <t>ERDAT</t>
  </si>
  <si>
    <t>ERTIM</t>
  </si>
  <si>
    <t>Rekord létrehozásának dátuma</t>
  </si>
  <si>
    <t>CRUSER</t>
  </si>
  <si>
    <t>CRDATE</t>
  </si>
  <si>
    <t>CRTIME</t>
  </si>
  <si>
    <t>CHUSER</t>
  </si>
  <si>
    <t>CHDATE</t>
  </si>
  <si>
    <t>CREATETIME</t>
  </si>
  <si>
    <t>TIMS</t>
  </si>
  <si>
    <t>Létrehozó</t>
  </si>
  <si>
    <t>A létrehozás dátuma</t>
  </si>
  <si>
    <t>Létrehozás időpontja</t>
  </si>
  <si>
    <t>PYMET</t>
  </si>
  <si>
    <t>ERNAM</t>
  </si>
  <si>
    <t>DOC_CAT</t>
  </si>
  <si>
    <t>AMNT</t>
  </si>
  <si>
    <t>WAERS</t>
  </si>
  <si>
    <t>DUEDATE</t>
  </si>
  <si>
    <t>BANKACCOUNTNUM</t>
  </si>
  <si>
    <t>GIRO</t>
  </si>
  <si>
    <t>NAME1</t>
  </si>
  <si>
    <t>SYSID</t>
  </si>
  <si>
    <t>LAND1</t>
  </si>
  <si>
    <t>AB</t>
  </si>
  <si>
    <t>BIS</t>
  </si>
  <si>
    <t>TARIFTYP</t>
  </si>
  <si>
    <t>AKLASSE</t>
  </si>
  <si>
    <t>ZBIZCAT</t>
  </si>
  <si>
    <t>MAHNS</t>
  </si>
  <si>
    <t>MAHNV</t>
  </si>
  <si>
    <t>FORM</t>
  </si>
  <si>
    <t>COTYP</t>
  </si>
  <si>
    <t>CHEQNUMBR</t>
  </si>
  <si>
    <t>BLOCK_DC</t>
  </si>
  <si>
    <t>BLOCK_QM</t>
  </si>
  <si>
    <t>COKEY</t>
  </si>
  <si>
    <t>REGMAILNUMBER</t>
  </si>
  <si>
    <t>OPBUK_PR</t>
  </si>
  <si>
    <t>COUNTER</t>
  </si>
  <si>
    <t>ENVELOPE</t>
  </si>
  <si>
    <t>Boríték azonosító</t>
  </si>
  <si>
    <t>PYMET_KK</t>
  </si>
  <si>
    <t>Fizetési mód</t>
  </si>
  <si>
    <t>Dokumentum kategória</t>
  </si>
  <si>
    <t>BETRW_KK</t>
  </si>
  <si>
    <t>Összeg a tranzakció pénznemében előjellel</t>
  </si>
  <si>
    <t>TizJegyek</t>
  </si>
  <si>
    <t>BLWAE_KK</t>
  </si>
  <si>
    <t>Tranzakciós pénznem</t>
  </si>
  <si>
    <t>FAEDN_KK</t>
  </si>
  <si>
    <t>Nettó esedékességi dátum</t>
  </si>
  <si>
    <t>Bankszámlaszám</t>
  </si>
  <si>
    <t>GIRO kód</t>
  </si>
  <si>
    <t>ZECAD_GIRO</t>
  </si>
  <si>
    <t>ZPRD_DOC_CAT</t>
  </si>
  <si>
    <t>AD_NAME1</t>
  </si>
  <si>
    <t>1. név</t>
  </si>
  <si>
    <t>SYSYSID</t>
  </si>
  <si>
    <t>Az SAP-rendszer neve</t>
  </si>
  <si>
    <t>Országkulcs</t>
  </si>
  <si>
    <t>ABZEITSCH</t>
  </si>
  <si>
    <t>BISZEITSCH</t>
  </si>
  <si>
    <t>Dátum, amikortól érvényes egy időszelet</t>
  </si>
  <si>
    <t>Időszelet érvényességének záró dátuma</t>
  </si>
  <si>
    <t>Tarifatípus</t>
  </si>
  <si>
    <t>Elszámolási osztály</t>
  </si>
  <si>
    <t>/SAPCE/IU_BBHUBIZCAT</t>
  </si>
  <si>
    <t>IS-U HU bizonylatfajta</t>
  </si>
  <si>
    <t>MAHNS_KK</t>
  </si>
  <si>
    <t>MAHNV_KK</t>
  </si>
  <si>
    <t>Felszólítási szint</t>
  </si>
  <si>
    <t>Felszólítási eljárás</t>
  </si>
  <si>
    <t>FORM név INSPIRE számára</t>
  </si>
  <si>
    <t>ZPRD_INSPIRE_FORMNAME</t>
  </si>
  <si>
    <t>COTYP_KK</t>
  </si>
  <si>
    <t>Levelezésfajta</t>
  </si>
  <si>
    <t>Csekksorszám CDV nélkül</t>
  </si>
  <si>
    <t>Kizárási DC ok</t>
  </si>
  <si>
    <t>Kizárási QM ok</t>
  </si>
  <si>
    <t>COKEY_KK</t>
  </si>
  <si>
    <t>Levelezéskulcs</t>
  </si>
  <si>
    <t>Ragszám</t>
  </si>
  <si>
    <t>Válllatkód nyomdának</t>
  </si>
  <si>
    <t>ZPRD_CHEQNUMBR</t>
  </si>
  <si>
    <t>ZPRD_STOCK_ID</t>
  </si>
  <si>
    <t>Stock azonosító</t>
  </si>
  <si>
    <t>ZPRD_BLOCK_DC</t>
  </si>
  <si>
    <t>ZPRD_BLOCK_QM</t>
  </si>
  <si>
    <t>ZPRD_REGMAILNUMBER</t>
  </si>
  <si>
    <t>ZPRD_OPBUKPR</t>
  </si>
  <si>
    <t>ZPRD_COUNTER</t>
  </si>
  <si>
    <t>Számláló</t>
  </si>
  <si>
    <t>Stock azonosító + AFP sorszám</t>
  </si>
  <si>
    <t>STATUS</t>
  </si>
  <si>
    <t>TIMESTAMP</t>
  </si>
  <si>
    <t>ZPRD_TSTMP</t>
  </si>
  <si>
    <t>Nyomtatás státusz időbélyege</t>
  </si>
  <si>
    <t>Nyomtatás státuszkód</t>
  </si>
  <si>
    <t>ZPRD_STATUS_CODE</t>
  </si>
  <si>
    <t>Értékkészlet: [R, C, B, Q, O, X, P, L, G, S, A, D, V, E]</t>
  </si>
  <si>
    <t>ERROR_CODE</t>
  </si>
  <si>
    <t>ERROR_TEXT</t>
  </si>
  <si>
    <t>ZPRD_ERROR_CODE</t>
  </si>
  <si>
    <t>Documentum Error code</t>
  </si>
  <si>
    <t>Documentum Error text</t>
  </si>
  <si>
    <t>ZPRD_ERROR_TEXT</t>
  </si>
  <si>
    <t>ZPRD_BANKNUM</t>
  </si>
  <si>
    <t>EMAIL_ADDRESS</t>
  </si>
  <si>
    <t>TSTMP_EMAIL_SENT</t>
  </si>
  <si>
    <t>SENDING_STATUS</t>
  </si>
  <si>
    <t>TSTMP_SENDING_STATUS</t>
  </si>
  <si>
    <t>ERROR_MESSAGE</t>
  </si>
  <si>
    <t>AD_SMTPADR</t>
  </si>
  <si>
    <t>E-mail-cím</t>
  </si>
  <si>
    <t>ZPRD_TMSTMP_EMAIL_SENT</t>
  </si>
  <si>
    <t>ZPRD_SEND_STATUS</t>
  </si>
  <si>
    <t>ZPRD_TMSTMP_SENDING_EMAIL</t>
  </si>
  <si>
    <t>ZPRD_EMAIL_ERROR_MESSAGE</t>
  </si>
  <si>
    <t>Email elküldési időbélyeg</t>
  </si>
  <si>
    <t>Email státusz kódja</t>
  </si>
  <si>
    <t>Email státusz időbélyege</t>
  </si>
  <si>
    <t>Email küldési hiba szövege</t>
  </si>
  <si>
    <t>Megjegyzés</t>
  </si>
  <si>
    <t>Ez a mező nem kötelező, ha hozzá tudod társítani a ZPRT_DOC_LOG táblából exbilldocno alapján a következővel egyenértékűen:
Van egy ZPREMLOG nevű tranzakció, ami ki van adva ügyintézőknek is. S16-ban hívja meg a ZPR_SLOG_EMAIL táblát. Itt az ügyintézők legtöbbet OPBEL alapján keresnek. Ha csináltok egy vele egyező megjelenítőt, akkor az is tökéletes és akkor innen kihagyható az OPBEL mező.</t>
  </si>
  <si>
    <t>STOCK_ID</t>
  </si>
  <si>
    <t>CLOSED</t>
  </si>
  <si>
    <t>ERDAT_CLO</t>
  </si>
  <si>
    <t>ERNAM_CLO</t>
  </si>
  <si>
    <t>ERTIM_CLO</t>
  </si>
  <si>
    <t>PRIORITY</t>
  </si>
  <si>
    <t>DCCOMPL</t>
  </si>
  <si>
    <t>QMCOMPL</t>
  </si>
  <si>
    <t>NOTEST</t>
  </si>
  <si>
    <t>STOCK_STATUS</t>
  </si>
  <si>
    <t>STOCK_STATUS_ER</t>
  </si>
  <si>
    <t>Az objektumot létrehozó ügyintéző neve</t>
  </si>
  <si>
    <t>ERZEIT</t>
  </si>
  <si>
    <t>Rekord létrehozásának időpontja</t>
  </si>
  <si>
    <t>Stock ID lezárva</t>
  </si>
  <si>
    <t>Stock ID engedélyezésenek dátuma</t>
  </si>
  <si>
    <t>Stock ID engedélyező User ID</t>
  </si>
  <si>
    <t>Stock ID engedélyezésenek ideje</t>
  </si>
  <si>
    <t>Stock prioritás</t>
  </si>
  <si>
    <t>DC kész</t>
  </si>
  <si>
    <t>QM kész</t>
  </si>
  <si>
    <t>Tesztben nem teszt</t>
  </si>
  <si>
    <t>Stock státusz</t>
  </si>
  <si>
    <t>Stock Státusz hiba</t>
  </si>
  <si>
    <t>ZPRD_CLOSED</t>
  </si>
  <si>
    <t>ZPRD_ERDAT_CLO</t>
  </si>
  <si>
    <t>ZPRD_ERNAM_CLO</t>
  </si>
  <si>
    <t>ZPRD_ERZEIT_CLO</t>
  </si>
  <si>
    <t>ZPRD_PRIORITY</t>
  </si>
  <si>
    <t>ZPRD_DCCOMPL</t>
  </si>
  <si>
    <t>ZPRD_QMCOMPL</t>
  </si>
  <si>
    <t>ZPRD_NOTEST</t>
  </si>
  <si>
    <t>ZPRD_STOCK_STATUS</t>
  </si>
  <si>
    <t>ZPRD_STOCK_STATUS_ER</t>
  </si>
  <si>
    <t>ARC_DOC_ID</t>
  </si>
  <si>
    <t>SAEARDOID</t>
  </si>
  <si>
    <t>SAP ArchiveLink: dokumentum-ID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</si>
</sst>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vertical="top"/>
    </xf>
    <xf numFmtId="0" fontId="0" fillId="3" borderId="0" xfId="0" applyFill="1" applyAlignment="1">
      <alignment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BEFD7-6C7C-4E8F-8DC0-CFBB5D1F7270}">
  <dimension ref="A1:H19"/>
  <sheetViews>
    <sheetView tabSelected="1" workbookViewId="0">
      <selection activeCell="E23" sqref="E23"/>
    </sheetView>
  </sheetViews>
  <sheetFormatPr defaultRowHeight="15" x14ac:dyDescent="0.25"/>
  <cols>
    <col min="1" max="1" width="14.140625" bestFit="1" customWidth="1"/>
    <col min="4" max="4" width="23.140625" bestFit="1" customWidth="1"/>
    <col min="8" max="8" width="26.42578125" bestFit="1" customWidth="1"/>
    <col min="9" max="9" width="29.85546875" bestFit="1" customWidth="1"/>
  </cols>
  <sheetData>
    <row r="1" spans="1:8" x14ac:dyDescent="0.25">
      <c r="A1" s="3" t="s">
        <v>20</v>
      </c>
      <c r="B1" s="3" t="s">
        <v>21</v>
      </c>
      <c r="C1" s="3"/>
      <c r="D1" s="3" t="s">
        <v>22</v>
      </c>
      <c r="E1" s="3" t="s">
        <v>23</v>
      </c>
      <c r="F1" s="3" t="s">
        <v>24</v>
      </c>
      <c r="G1" s="3" t="s">
        <v>119</v>
      </c>
      <c r="H1" s="3" t="s">
        <v>33</v>
      </c>
    </row>
    <row r="2" spans="1:8" x14ac:dyDescent="0.25">
      <c r="A2" t="s">
        <v>0</v>
      </c>
      <c r="B2" t="s">
        <v>25</v>
      </c>
      <c r="D2" t="s">
        <v>0</v>
      </c>
      <c r="E2" t="s">
        <v>28</v>
      </c>
      <c r="F2">
        <v>3</v>
      </c>
      <c r="G2">
        <v>0</v>
      </c>
      <c r="H2" t="s">
        <v>34</v>
      </c>
    </row>
    <row r="3" spans="1:8" x14ac:dyDescent="0.25">
      <c r="A3" t="s">
        <v>1</v>
      </c>
      <c r="B3" t="s">
        <v>25</v>
      </c>
      <c r="D3" t="s">
        <v>39</v>
      </c>
      <c r="E3" t="s">
        <v>27</v>
      </c>
      <c r="F3">
        <v>20</v>
      </c>
      <c r="G3">
        <v>0</v>
      </c>
      <c r="H3" t="s">
        <v>37</v>
      </c>
    </row>
    <row r="4" spans="1:8" x14ac:dyDescent="0.25">
      <c r="A4" t="s">
        <v>2</v>
      </c>
      <c r="D4" t="s">
        <v>26</v>
      </c>
      <c r="E4" t="s">
        <v>27</v>
      </c>
      <c r="F4">
        <v>12</v>
      </c>
      <c r="G4">
        <v>0</v>
      </c>
      <c r="H4" t="s">
        <v>35</v>
      </c>
    </row>
    <row r="5" spans="1:8" x14ac:dyDescent="0.25">
      <c r="A5" t="s">
        <v>3</v>
      </c>
      <c r="D5" t="s">
        <v>30</v>
      </c>
      <c r="E5" t="s">
        <v>31</v>
      </c>
      <c r="F5">
        <v>2</v>
      </c>
      <c r="G5">
        <v>0</v>
      </c>
      <c r="H5" t="s">
        <v>36</v>
      </c>
    </row>
    <row r="6" spans="1:8" x14ac:dyDescent="0.25">
      <c r="A6" t="s">
        <v>4</v>
      </c>
      <c r="D6" t="s">
        <v>40</v>
      </c>
      <c r="E6" t="s">
        <v>27</v>
      </c>
      <c r="F6">
        <v>4</v>
      </c>
      <c r="G6">
        <v>0</v>
      </c>
      <c r="H6" t="s">
        <v>32</v>
      </c>
    </row>
    <row r="7" spans="1:8" x14ac:dyDescent="0.25">
      <c r="A7" t="s">
        <v>5</v>
      </c>
      <c r="D7" t="s">
        <v>29</v>
      </c>
      <c r="E7" t="s">
        <v>27</v>
      </c>
      <c r="F7">
        <v>2</v>
      </c>
      <c r="G7">
        <v>0</v>
      </c>
      <c r="H7" t="s">
        <v>38</v>
      </c>
    </row>
    <row r="8" spans="1:8" x14ac:dyDescent="0.25">
      <c r="A8" t="s">
        <v>6</v>
      </c>
      <c r="D8" t="s">
        <v>41</v>
      </c>
      <c r="E8" t="s">
        <v>27</v>
      </c>
      <c r="F8">
        <v>1</v>
      </c>
      <c r="G8">
        <v>0</v>
      </c>
      <c r="H8" t="s">
        <v>47</v>
      </c>
    </row>
    <row r="9" spans="1:8" x14ac:dyDescent="0.25">
      <c r="A9" t="s">
        <v>7</v>
      </c>
      <c r="D9" t="s">
        <v>42</v>
      </c>
      <c r="E9" t="s">
        <v>27</v>
      </c>
      <c r="F9">
        <v>1</v>
      </c>
      <c r="G9">
        <v>0</v>
      </c>
      <c r="H9" t="s">
        <v>46</v>
      </c>
    </row>
    <row r="10" spans="1:8" x14ac:dyDescent="0.25">
      <c r="A10" t="s">
        <v>8</v>
      </c>
      <c r="D10" t="s">
        <v>43</v>
      </c>
      <c r="E10" t="s">
        <v>27</v>
      </c>
      <c r="F10">
        <v>1</v>
      </c>
      <c r="G10">
        <v>0</v>
      </c>
      <c r="H10" t="s">
        <v>45</v>
      </c>
    </row>
    <row r="11" spans="1:8" x14ac:dyDescent="0.25">
      <c r="A11" t="s">
        <v>10</v>
      </c>
      <c r="D11" t="s">
        <v>49</v>
      </c>
      <c r="E11" t="s">
        <v>27</v>
      </c>
      <c r="F11">
        <v>10</v>
      </c>
      <c r="G11">
        <v>0</v>
      </c>
      <c r="H11" t="s">
        <v>55</v>
      </c>
    </row>
    <row r="12" spans="1:8" x14ac:dyDescent="0.25">
      <c r="A12" t="s">
        <v>11</v>
      </c>
      <c r="D12" t="s">
        <v>50</v>
      </c>
      <c r="E12" t="s">
        <v>27</v>
      </c>
      <c r="F12">
        <v>12</v>
      </c>
      <c r="G12">
        <v>0</v>
      </c>
      <c r="H12" t="s">
        <v>54</v>
      </c>
    </row>
    <row r="13" spans="1:8" x14ac:dyDescent="0.25">
      <c r="A13" t="s">
        <v>9</v>
      </c>
      <c r="D13" t="s">
        <v>9</v>
      </c>
      <c r="E13" t="s">
        <v>27</v>
      </c>
      <c r="F13">
        <v>4</v>
      </c>
      <c r="G13">
        <v>0</v>
      </c>
      <c r="H13" t="s">
        <v>48</v>
      </c>
    </row>
    <row r="14" spans="1:8" x14ac:dyDescent="0.25">
      <c r="A14" t="s">
        <v>12</v>
      </c>
      <c r="D14" t="s">
        <v>12</v>
      </c>
      <c r="E14" t="s">
        <v>27</v>
      </c>
      <c r="F14">
        <v>2</v>
      </c>
      <c r="G14">
        <v>0</v>
      </c>
      <c r="H14" t="s">
        <v>56</v>
      </c>
    </row>
    <row r="15" spans="1:8" x14ac:dyDescent="0.25">
      <c r="A15" s="2" t="s">
        <v>16</v>
      </c>
      <c r="D15" t="s">
        <v>62</v>
      </c>
      <c r="E15" t="s">
        <v>27</v>
      </c>
      <c r="F15">
        <v>4</v>
      </c>
      <c r="G15">
        <v>0</v>
      </c>
      <c r="H15" t="s">
        <v>63</v>
      </c>
    </row>
    <row r="16" spans="1:8" x14ac:dyDescent="0.25">
      <c r="A16" s="2" t="s">
        <v>75</v>
      </c>
      <c r="D16" t="s">
        <v>78</v>
      </c>
      <c r="E16" t="s">
        <v>27</v>
      </c>
      <c r="F16">
        <v>12</v>
      </c>
      <c r="G16">
        <v>0</v>
      </c>
      <c r="H16" t="s">
        <v>82</v>
      </c>
    </row>
    <row r="17" spans="1:8" x14ac:dyDescent="0.25">
      <c r="A17" s="2" t="s">
        <v>76</v>
      </c>
      <c r="D17" t="s">
        <v>79</v>
      </c>
      <c r="E17" t="s">
        <v>60</v>
      </c>
      <c r="F17">
        <v>8</v>
      </c>
      <c r="G17">
        <v>0</v>
      </c>
      <c r="H17" t="s">
        <v>83</v>
      </c>
    </row>
    <row r="18" spans="1:8" x14ac:dyDescent="0.25">
      <c r="A18" t="s">
        <v>77</v>
      </c>
      <c r="D18" t="s">
        <v>80</v>
      </c>
      <c r="E18" t="s">
        <v>81</v>
      </c>
      <c r="F18">
        <v>6</v>
      </c>
      <c r="G18">
        <v>0</v>
      </c>
      <c r="H18" t="s">
        <v>84</v>
      </c>
    </row>
    <row r="19" spans="1:8" x14ac:dyDescent="0.25">
      <c r="F19">
        <f>SUM(F2:F18)</f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941D3-2D1F-436E-B8E0-4FB2B3319AE8}">
  <dimension ref="A1:I39"/>
  <sheetViews>
    <sheetView topLeftCell="A19" workbookViewId="0">
      <selection activeCell="A5" sqref="A5"/>
    </sheetView>
  </sheetViews>
  <sheetFormatPr defaultRowHeight="15" x14ac:dyDescent="0.25"/>
  <cols>
    <col min="1" max="1" width="19" bestFit="1" customWidth="1"/>
    <col min="4" max="4" width="24.85546875" bestFit="1" customWidth="1"/>
    <col min="8" max="8" width="39.7109375" bestFit="1" customWidth="1"/>
    <col min="9" max="9" width="30.42578125" bestFit="1" customWidth="1"/>
  </cols>
  <sheetData>
    <row r="1" spans="1:8" x14ac:dyDescent="0.25">
      <c r="A1" s="3" t="s">
        <v>20</v>
      </c>
      <c r="B1" s="3" t="s">
        <v>21</v>
      </c>
      <c r="C1" s="3"/>
      <c r="D1" s="3" t="s">
        <v>22</v>
      </c>
      <c r="E1" s="3" t="s">
        <v>23</v>
      </c>
      <c r="F1" s="3" t="s">
        <v>24</v>
      </c>
      <c r="G1" s="3" t="s">
        <v>119</v>
      </c>
      <c r="H1" s="3" t="s">
        <v>33</v>
      </c>
    </row>
    <row r="2" spans="1:8" x14ac:dyDescent="0.25">
      <c r="A2" t="s">
        <v>0</v>
      </c>
      <c r="B2" t="s">
        <v>25</v>
      </c>
      <c r="D2" t="s">
        <v>0</v>
      </c>
      <c r="E2" t="s">
        <v>28</v>
      </c>
      <c r="F2">
        <v>3</v>
      </c>
      <c r="G2">
        <v>0</v>
      </c>
      <c r="H2" t="s">
        <v>34</v>
      </c>
    </row>
    <row r="3" spans="1:8" x14ac:dyDescent="0.25">
      <c r="A3" t="s">
        <v>1</v>
      </c>
      <c r="B3" t="s">
        <v>25</v>
      </c>
      <c r="D3" t="s">
        <v>39</v>
      </c>
      <c r="E3" t="s">
        <v>27</v>
      </c>
      <c r="F3">
        <v>20</v>
      </c>
      <c r="G3">
        <v>0</v>
      </c>
      <c r="H3" t="s">
        <v>37</v>
      </c>
    </row>
    <row r="4" spans="1:8" x14ac:dyDescent="0.25">
      <c r="A4" s="2" t="s">
        <v>112</v>
      </c>
      <c r="D4" t="s">
        <v>44</v>
      </c>
      <c r="E4" t="s">
        <v>27</v>
      </c>
      <c r="F4">
        <v>9</v>
      </c>
      <c r="G4">
        <v>0</v>
      </c>
      <c r="H4" t="s">
        <v>113</v>
      </c>
    </row>
    <row r="5" spans="1:8" x14ac:dyDescent="0.25">
      <c r="A5" t="s">
        <v>85</v>
      </c>
      <c r="D5" t="s">
        <v>114</v>
      </c>
      <c r="E5" t="s">
        <v>27</v>
      </c>
      <c r="F5">
        <v>1</v>
      </c>
      <c r="G5">
        <v>0</v>
      </c>
      <c r="H5" t="s">
        <v>115</v>
      </c>
    </row>
    <row r="6" spans="1:8" x14ac:dyDescent="0.25">
      <c r="A6" s="2" t="s">
        <v>87</v>
      </c>
      <c r="D6" t="s">
        <v>127</v>
      </c>
      <c r="E6" t="s">
        <v>27</v>
      </c>
      <c r="F6">
        <v>1</v>
      </c>
      <c r="G6">
        <v>0</v>
      </c>
      <c r="H6" t="s">
        <v>116</v>
      </c>
    </row>
    <row r="7" spans="1:8" x14ac:dyDescent="0.25">
      <c r="A7" t="s">
        <v>88</v>
      </c>
      <c r="D7" t="s">
        <v>117</v>
      </c>
      <c r="E7" t="s">
        <v>27</v>
      </c>
      <c r="F7">
        <v>13</v>
      </c>
      <c r="G7">
        <v>2</v>
      </c>
      <c r="H7" t="s">
        <v>118</v>
      </c>
    </row>
    <row r="8" spans="1:8" x14ac:dyDescent="0.25">
      <c r="A8" t="s">
        <v>89</v>
      </c>
      <c r="D8" t="s">
        <v>120</v>
      </c>
      <c r="E8" t="s">
        <v>27</v>
      </c>
      <c r="F8">
        <v>5</v>
      </c>
      <c r="G8">
        <v>0</v>
      </c>
      <c r="H8" t="s">
        <v>121</v>
      </c>
    </row>
    <row r="9" spans="1:8" x14ac:dyDescent="0.25">
      <c r="A9" t="s">
        <v>90</v>
      </c>
      <c r="D9" t="s">
        <v>122</v>
      </c>
      <c r="E9" t="s">
        <v>60</v>
      </c>
      <c r="F9">
        <v>8</v>
      </c>
      <c r="G9">
        <v>0</v>
      </c>
      <c r="H9" t="s">
        <v>123</v>
      </c>
    </row>
    <row r="10" spans="1:8" x14ac:dyDescent="0.25">
      <c r="A10" t="s">
        <v>91</v>
      </c>
      <c r="D10" s="1" t="s">
        <v>179</v>
      </c>
      <c r="E10" t="s">
        <v>27</v>
      </c>
      <c r="F10" s="1">
        <v>35</v>
      </c>
      <c r="G10">
        <v>0</v>
      </c>
      <c r="H10" t="s">
        <v>124</v>
      </c>
    </row>
    <row r="11" spans="1:8" x14ac:dyDescent="0.25">
      <c r="A11" t="s">
        <v>92</v>
      </c>
      <c r="D11" t="s">
        <v>126</v>
      </c>
      <c r="E11" t="s">
        <v>27</v>
      </c>
      <c r="F11">
        <v>13</v>
      </c>
      <c r="G11">
        <v>0</v>
      </c>
      <c r="H11" t="s">
        <v>125</v>
      </c>
    </row>
    <row r="12" spans="1:8" x14ac:dyDescent="0.25">
      <c r="A12" t="s">
        <v>93</v>
      </c>
      <c r="D12" t="s">
        <v>128</v>
      </c>
      <c r="E12" t="s">
        <v>27</v>
      </c>
      <c r="F12">
        <v>40</v>
      </c>
      <c r="G12">
        <v>0</v>
      </c>
      <c r="H12" t="s">
        <v>129</v>
      </c>
    </row>
    <row r="13" spans="1:8" x14ac:dyDescent="0.25">
      <c r="A13" t="s">
        <v>94</v>
      </c>
      <c r="D13" t="s">
        <v>130</v>
      </c>
      <c r="E13" t="s">
        <v>27</v>
      </c>
      <c r="F13">
        <v>8</v>
      </c>
      <c r="G13">
        <v>0</v>
      </c>
      <c r="H13" t="s">
        <v>131</v>
      </c>
    </row>
    <row r="14" spans="1:8" x14ac:dyDescent="0.25">
      <c r="A14" t="s">
        <v>95</v>
      </c>
      <c r="D14" t="s">
        <v>95</v>
      </c>
      <c r="E14" t="s">
        <v>27</v>
      </c>
      <c r="F14">
        <v>3</v>
      </c>
      <c r="G14">
        <v>0</v>
      </c>
      <c r="H14" t="s">
        <v>132</v>
      </c>
    </row>
    <row r="15" spans="1:8" x14ac:dyDescent="0.25">
      <c r="A15" t="s">
        <v>96</v>
      </c>
      <c r="D15" t="s">
        <v>133</v>
      </c>
      <c r="E15" t="s">
        <v>60</v>
      </c>
      <c r="F15">
        <v>8</v>
      </c>
      <c r="G15">
        <v>0</v>
      </c>
      <c r="H15" s="4" t="s">
        <v>135</v>
      </c>
    </row>
    <row r="16" spans="1:8" x14ac:dyDescent="0.25">
      <c r="A16" t="s">
        <v>97</v>
      </c>
      <c r="D16" t="s">
        <v>134</v>
      </c>
      <c r="E16" t="s">
        <v>60</v>
      </c>
      <c r="F16">
        <v>8</v>
      </c>
      <c r="G16">
        <v>0</v>
      </c>
      <c r="H16" t="s">
        <v>136</v>
      </c>
    </row>
    <row r="17" spans="1:8" x14ac:dyDescent="0.25">
      <c r="A17" t="s">
        <v>98</v>
      </c>
      <c r="D17" t="s">
        <v>98</v>
      </c>
      <c r="E17" t="s">
        <v>27</v>
      </c>
      <c r="F17">
        <v>10</v>
      </c>
      <c r="G17">
        <v>0</v>
      </c>
      <c r="H17" t="s">
        <v>137</v>
      </c>
    </row>
    <row r="18" spans="1:8" x14ac:dyDescent="0.25">
      <c r="A18" t="s">
        <v>99</v>
      </c>
      <c r="D18" t="s">
        <v>99</v>
      </c>
      <c r="E18" t="s">
        <v>27</v>
      </c>
      <c r="F18">
        <v>4</v>
      </c>
      <c r="G18">
        <v>0</v>
      </c>
      <c r="H18" t="s">
        <v>138</v>
      </c>
    </row>
    <row r="19" spans="1:8" x14ac:dyDescent="0.25">
      <c r="A19" t="s">
        <v>100</v>
      </c>
      <c r="D19" t="s">
        <v>139</v>
      </c>
      <c r="E19" t="s">
        <v>27</v>
      </c>
      <c r="F19">
        <v>4</v>
      </c>
      <c r="G19">
        <v>0</v>
      </c>
      <c r="H19" t="s">
        <v>140</v>
      </c>
    </row>
    <row r="20" spans="1:8" x14ac:dyDescent="0.25">
      <c r="A20" t="s">
        <v>101</v>
      </c>
      <c r="D20" t="s">
        <v>141</v>
      </c>
      <c r="E20" t="s">
        <v>31</v>
      </c>
      <c r="F20">
        <v>2</v>
      </c>
      <c r="G20">
        <v>0</v>
      </c>
      <c r="H20" t="s">
        <v>143</v>
      </c>
    </row>
    <row r="21" spans="1:8" x14ac:dyDescent="0.25">
      <c r="A21" t="s">
        <v>102</v>
      </c>
      <c r="D21" t="s">
        <v>142</v>
      </c>
      <c r="E21" t="s">
        <v>27</v>
      </c>
      <c r="F21">
        <v>2</v>
      </c>
      <c r="G21">
        <v>0</v>
      </c>
      <c r="H21" t="s">
        <v>144</v>
      </c>
    </row>
    <row r="22" spans="1:8" x14ac:dyDescent="0.25">
      <c r="A22" t="s">
        <v>103</v>
      </c>
      <c r="D22" t="s">
        <v>146</v>
      </c>
      <c r="E22" t="s">
        <v>27</v>
      </c>
      <c r="F22">
        <v>30</v>
      </c>
      <c r="G22">
        <v>0</v>
      </c>
      <c r="H22" t="s">
        <v>145</v>
      </c>
    </row>
    <row r="23" spans="1:8" x14ac:dyDescent="0.25">
      <c r="A23" t="s">
        <v>104</v>
      </c>
      <c r="D23" t="s">
        <v>147</v>
      </c>
      <c r="E23" t="s">
        <v>27</v>
      </c>
      <c r="F23">
        <v>4</v>
      </c>
      <c r="G23">
        <v>0</v>
      </c>
      <c r="H23" t="s">
        <v>148</v>
      </c>
    </row>
    <row r="24" spans="1:8" x14ac:dyDescent="0.25">
      <c r="A24" t="s">
        <v>66</v>
      </c>
      <c r="D24" t="s">
        <v>65</v>
      </c>
      <c r="E24" t="s">
        <v>27</v>
      </c>
      <c r="F24">
        <v>10</v>
      </c>
      <c r="G24">
        <v>0</v>
      </c>
      <c r="H24" t="s">
        <v>68</v>
      </c>
    </row>
    <row r="25" spans="1:8" x14ac:dyDescent="0.25">
      <c r="A25" t="s">
        <v>105</v>
      </c>
      <c r="D25" t="s">
        <v>156</v>
      </c>
      <c r="E25" t="s">
        <v>27</v>
      </c>
      <c r="F25">
        <v>7</v>
      </c>
      <c r="G25">
        <v>0</v>
      </c>
      <c r="H25" t="s">
        <v>149</v>
      </c>
    </row>
    <row r="26" spans="1:8" x14ac:dyDescent="0.25">
      <c r="A26" t="s">
        <v>106</v>
      </c>
      <c r="D26" s="2" t="s">
        <v>159</v>
      </c>
      <c r="E26" t="s">
        <v>27</v>
      </c>
      <c r="F26">
        <v>2</v>
      </c>
      <c r="G26">
        <v>0</v>
      </c>
      <c r="H26" t="s">
        <v>150</v>
      </c>
    </row>
    <row r="27" spans="1:8" x14ac:dyDescent="0.25">
      <c r="A27" t="s">
        <v>107</v>
      </c>
      <c r="D27" s="2" t="s">
        <v>160</v>
      </c>
      <c r="E27" t="s">
        <v>27</v>
      </c>
      <c r="F27">
        <v>2</v>
      </c>
      <c r="G27">
        <v>0</v>
      </c>
      <c r="H27" t="s">
        <v>151</v>
      </c>
    </row>
    <row r="28" spans="1:8" x14ac:dyDescent="0.25">
      <c r="A28" t="s">
        <v>108</v>
      </c>
      <c r="D28" t="s">
        <v>152</v>
      </c>
      <c r="E28" t="s">
        <v>27</v>
      </c>
      <c r="F28">
        <v>36</v>
      </c>
      <c r="G28">
        <v>0</v>
      </c>
      <c r="H28" t="s">
        <v>153</v>
      </c>
    </row>
    <row r="29" spans="1:8" x14ac:dyDescent="0.25">
      <c r="A29" t="s">
        <v>109</v>
      </c>
      <c r="D29" t="s">
        <v>161</v>
      </c>
      <c r="E29" t="s">
        <v>27</v>
      </c>
      <c r="F29">
        <v>16</v>
      </c>
      <c r="G29">
        <v>0</v>
      </c>
      <c r="H29" t="s">
        <v>154</v>
      </c>
    </row>
    <row r="30" spans="1:8" x14ac:dyDescent="0.25">
      <c r="A30" t="s">
        <v>110</v>
      </c>
      <c r="D30" t="s">
        <v>162</v>
      </c>
      <c r="E30" t="s">
        <v>27</v>
      </c>
      <c r="F30">
        <v>3</v>
      </c>
      <c r="G30">
        <v>0</v>
      </c>
      <c r="H30" t="s">
        <v>155</v>
      </c>
    </row>
    <row r="31" spans="1:8" x14ac:dyDescent="0.25">
      <c r="A31" s="2" t="s">
        <v>13</v>
      </c>
      <c r="D31" t="s">
        <v>51</v>
      </c>
      <c r="E31" t="s">
        <v>27</v>
      </c>
      <c r="F31">
        <v>4</v>
      </c>
      <c r="G31">
        <v>0</v>
      </c>
      <c r="H31" t="s">
        <v>57</v>
      </c>
    </row>
    <row r="32" spans="1:8" x14ac:dyDescent="0.25">
      <c r="A32" s="2" t="s">
        <v>14</v>
      </c>
      <c r="D32" t="s">
        <v>52</v>
      </c>
      <c r="E32" t="s">
        <v>60</v>
      </c>
      <c r="F32">
        <v>8</v>
      </c>
      <c r="G32">
        <v>0</v>
      </c>
      <c r="H32" t="s">
        <v>58</v>
      </c>
    </row>
    <row r="33" spans="1:9" x14ac:dyDescent="0.25">
      <c r="A33" s="2" t="s">
        <v>15</v>
      </c>
      <c r="D33" t="s">
        <v>53</v>
      </c>
      <c r="E33" t="s">
        <v>27</v>
      </c>
      <c r="F33">
        <v>6</v>
      </c>
      <c r="G33">
        <v>0</v>
      </c>
      <c r="H33" t="s">
        <v>59</v>
      </c>
    </row>
    <row r="34" spans="1:9" x14ac:dyDescent="0.25">
      <c r="A34" s="2" t="s">
        <v>17</v>
      </c>
      <c r="D34" t="s">
        <v>157</v>
      </c>
      <c r="E34" t="s">
        <v>31</v>
      </c>
      <c r="F34">
        <v>10</v>
      </c>
      <c r="G34">
        <v>0</v>
      </c>
      <c r="H34" t="s">
        <v>158</v>
      </c>
    </row>
    <row r="35" spans="1:9" x14ac:dyDescent="0.25">
      <c r="A35" s="2" t="s">
        <v>18</v>
      </c>
      <c r="D35" t="s">
        <v>69</v>
      </c>
      <c r="E35" t="s">
        <v>27</v>
      </c>
      <c r="F35">
        <v>12</v>
      </c>
      <c r="G35">
        <v>0</v>
      </c>
      <c r="H35" t="s">
        <v>165</v>
      </c>
    </row>
    <row r="36" spans="1:9" x14ac:dyDescent="0.25">
      <c r="A36" s="2" t="s">
        <v>19</v>
      </c>
      <c r="D36" t="s">
        <v>70</v>
      </c>
      <c r="E36" t="s">
        <v>27</v>
      </c>
      <c r="F36">
        <v>4</v>
      </c>
      <c r="G36">
        <v>0</v>
      </c>
      <c r="H36" t="s">
        <v>71</v>
      </c>
    </row>
    <row r="37" spans="1:9" x14ac:dyDescent="0.25">
      <c r="A37" t="s">
        <v>111</v>
      </c>
      <c r="D37" t="s">
        <v>163</v>
      </c>
      <c r="E37" t="s">
        <v>64</v>
      </c>
      <c r="F37">
        <v>10</v>
      </c>
      <c r="G37">
        <v>0</v>
      </c>
      <c r="H37" t="s">
        <v>164</v>
      </c>
    </row>
    <row r="38" spans="1:9" x14ac:dyDescent="0.25">
      <c r="A38" t="s">
        <v>13</v>
      </c>
      <c r="D38" t="s">
        <v>51</v>
      </c>
      <c r="E38" t="s">
        <v>27</v>
      </c>
      <c r="F38">
        <v>4</v>
      </c>
      <c r="G38">
        <v>0</v>
      </c>
      <c r="H38" t="s">
        <v>57</v>
      </c>
      <c r="I38" t="s">
        <v>61</v>
      </c>
    </row>
    <row r="39" spans="1:9" x14ac:dyDescent="0.25">
      <c r="F39">
        <f>SUM(F2:F38)</f>
        <v>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CEB0-113B-4605-8A8D-AFFF6C7E6F26}">
  <dimension ref="A1:I6"/>
  <sheetViews>
    <sheetView workbookViewId="0">
      <selection activeCell="F7" sqref="F7"/>
    </sheetView>
  </sheetViews>
  <sheetFormatPr defaultRowHeight="15" x14ac:dyDescent="0.25"/>
  <cols>
    <col min="1" max="1" width="13.42578125" bestFit="1" customWidth="1"/>
    <col min="4" max="4" width="18.85546875" bestFit="1" customWidth="1"/>
    <col min="5" max="5" width="13.28515625" customWidth="1"/>
    <col min="6" max="6" width="6.42578125" bestFit="1" customWidth="1"/>
    <col min="8" max="8" width="27.7109375" bestFit="1" customWidth="1"/>
    <col min="9" max="9" width="43.85546875" bestFit="1" customWidth="1"/>
  </cols>
  <sheetData>
    <row r="1" spans="1:9" x14ac:dyDescent="0.25">
      <c r="A1" s="3" t="s">
        <v>20</v>
      </c>
      <c r="B1" s="3" t="s">
        <v>21</v>
      </c>
      <c r="C1" s="3"/>
      <c r="D1" s="3" t="s">
        <v>22</v>
      </c>
      <c r="E1" s="3" t="s">
        <v>23</v>
      </c>
      <c r="F1" s="3" t="s">
        <v>24</v>
      </c>
      <c r="G1" s="3" t="s">
        <v>119</v>
      </c>
      <c r="H1" s="3" t="s">
        <v>33</v>
      </c>
    </row>
    <row r="2" spans="1:9" x14ac:dyDescent="0.25">
      <c r="A2" t="s">
        <v>0</v>
      </c>
      <c r="B2" t="s">
        <v>25</v>
      </c>
      <c r="D2" t="s">
        <v>0</v>
      </c>
      <c r="E2" t="s">
        <v>28</v>
      </c>
      <c r="F2">
        <v>3</v>
      </c>
      <c r="G2">
        <v>0</v>
      </c>
      <c r="H2" t="s">
        <v>34</v>
      </c>
    </row>
    <row r="3" spans="1:9" x14ac:dyDescent="0.25">
      <c r="A3" t="s">
        <v>1</v>
      </c>
      <c r="B3" t="s">
        <v>25</v>
      </c>
      <c r="D3" t="s">
        <v>39</v>
      </c>
      <c r="E3" t="s">
        <v>27</v>
      </c>
      <c r="F3">
        <v>20</v>
      </c>
      <c r="G3">
        <v>0</v>
      </c>
      <c r="H3" t="s">
        <v>37</v>
      </c>
    </row>
    <row r="4" spans="1:9" x14ac:dyDescent="0.25">
      <c r="A4" t="s">
        <v>166</v>
      </c>
      <c r="B4" t="s">
        <v>25</v>
      </c>
      <c r="D4" t="s">
        <v>171</v>
      </c>
      <c r="E4" t="s">
        <v>27</v>
      </c>
      <c r="F4">
        <v>1</v>
      </c>
      <c r="G4">
        <v>0</v>
      </c>
      <c r="H4" t="s">
        <v>170</v>
      </c>
      <c r="I4" t="s">
        <v>172</v>
      </c>
    </row>
    <row r="5" spans="1:9" x14ac:dyDescent="0.25">
      <c r="A5" t="s">
        <v>167</v>
      </c>
      <c r="D5" t="s">
        <v>168</v>
      </c>
      <c r="E5" t="s">
        <v>27</v>
      </c>
      <c r="F5">
        <v>14</v>
      </c>
      <c r="G5">
        <v>0</v>
      </c>
      <c r="H5" t="s">
        <v>169</v>
      </c>
    </row>
    <row r="6" spans="1:9" x14ac:dyDescent="0.25">
      <c r="F6">
        <f>SUM(F2:F5)</f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1E25-8F0D-4B9F-9670-118DFF979DA5}">
  <dimension ref="A1:H11"/>
  <sheetViews>
    <sheetView workbookViewId="0">
      <selection activeCell="F7" sqref="F7"/>
    </sheetView>
  </sheetViews>
  <sheetFormatPr defaultRowHeight="15" x14ac:dyDescent="0.25"/>
  <cols>
    <col min="1" max="1" width="13.42578125" bestFit="1" customWidth="1"/>
    <col min="2" max="2" width="5.85546875" bestFit="1" customWidth="1"/>
    <col min="4" max="4" width="18.28515625" bestFit="1" customWidth="1"/>
    <col min="5" max="5" width="9.5703125" bestFit="1" customWidth="1"/>
    <col min="6" max="6" width="6.42578125" bestFit="1" customWidth="1"/>
    <col min="7" max="7" width="9.42578125" bestFit="1" customWidth="1"/>
    <col min="8" max="8" width="26.85546875" bestFit="1" customWidth="1"/>
  </cols>
  <sheetData>
    <row r="1" spans="1:8" x14ac:dyDescent="0.25">
      <c r="A1" s="3" t="s">
        <v>20</v>
      </c>
      <c r="B1" s="3" t="s">
        <v>21</v>
      </c>
      <c r="C1" s="3"/>
      <c r="D1" s="3" t="s">
        <v>22</v>
      </c>
      <c r="E1" s="3" t="s">
        <v>23</v>
      </c>
      <c r="F1" s="3" t="s">
        <v>24</v>
      </c>
      <c r="G1" s="3" t="s">
        <v>119</v>
      </c>
      <c r="H1" s="3" t="s">
        <v>33</v>
      </c>
    </row>
    <row r="2" spans="1:8" x14ac:dyDescent="0.25">
      <c r="A2" t="s">
        <v>0</v>
      </c>
      <c r="B2" t="s">
        <v>25</v>
      </c>
      <c r="D2" t="s">
        <v>0</v>
      </c>
      <c r="E2" t="s">
        <v>28</v>
      </c>
      <c r="F2">
        <v>3</v>
      </c>
      <c r="G2">
        <v>0</v>
      </c>
      <c r="H2" t="s">
        <v>34</v>
      </c>
    </row>
    <row r="3" spans="1:8" x14ac:dyDescent="0.25">
      <c r="A3" t="s">
        <v>1</v>
      </c>
      <c r="B3" t="s">
        <v>25</v>
      </c>
      <c r="D3" t="s">
        <v>39</v>
      </c>
      <c r="E3" t="s">
        <v>27</v>
      </c>
      <c r="F3">
        <v>20</v>
      </c>
      <c r="G3">
        <v>0</v>
      </c>
      <c r="H3" t="s">
        <v>37</v>
      </c>
    </row>
    <row r="4" spans="1:8" x14ac:dyDescent="0.25">
      <c r="A4" s="2" t="s">
        <v>173</v>
      </c>
      <c r="D4" t="s">
        <v>175</v>
      </c>
      <c r="E4" t="s">
        <v>27</v>
      </c>
      <c r="F4">
        <v>2</v>
      </c>
      <c r="G4">
        <v>0</v>
      </c>
      <c r="H4" t="s">
        <v>176</v>
      </c>
    </row>
    <row r="5" spans="1:8" x14ac:dyDescent="0.25">
      <c r="A5" s="2" t="s">
        <v>174</v>
      </c>
      <c r="D5" t="s">
        <v>178</v>
      </c>
      <c r="E5" t="s">
        <v>27</v>
      </c>
      <c r="F5">
        <v>500</v>
      </c>
      <c r="G5">
        <v>0</v>
      </c>
      <c r="H5" t="s">
        <v>177</v>
      </c>
    </row>
    <row r="6" spans="1:8" x14ac:dyDescent="0.25">
      <c r="A6" s="2"/>
      <c r="F6">
        <f>SUM(F2:F5)</f>
        <v>525</v>
      </c>
    </row>
    <row r="7" spans="1:8" x14ac:dyDescent="0.25">
      <c r="A7" s="2"/>
    </row>
    <row r="8" spans="1:8" x14ac:dyDescent="0.25">
      <c r="A8" s="2"/>
    </row>
    <row r="9" spans="1:8" x14ac:dyDescent="0.25">
      <c r="A9" s="2"/>
    </row>
    <row r="10" spans="1:8" x14ac:dyDescent="0.25">
      <c r="A10" s="2"/>
    </row>
    <row r="11" spans="1:8" x14ac:dyDescent="0.25">
      <c r="A1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3FF1F-F289-457B-AD98-C5DA6DC96075}">
  <dimension ref="A1:I10"/>
  <sheetViews>
    <sheetView workbookViewId="0">
      <selection activeCell="F11" sqref="F11"/>
    </sheetView>
  </sheetViews>
  <sheetFormatPr defaultRowHeight="15" x14ac:dyDescent="0.25"/>
  <cols>
    <col min="1" max="1" width="23.28515625" bestFit="1" customWidth="1"/>
    <col min="2" max="2" width="5.85546875" bestFit="1" customWidth="1"/>
    <col min="4" max="4" width="29.7109375" bestFit="1" customWidth="1"/>
    <col min="5" max="5" width="9.5703125" bestFit="1" customWidth="1"/>
    <col min="6" max="6" width="6.42578125" bestFit="1" customWidth="1"/>
    <col min="7" max="7" width="9.42578125" bestFit="1" customWidth="1"/>
    <col min="8" max="8" width="32" bestFit="1" customWidth="1"/>
    <col min="9" max="9" width="69.7109375" bestFit="1" customWidth="1"/>
  </cols>
  <sheetData>
    <row r="1" spans="1:9" x14ac:dyDescent="0.25">
      <c r="A1" s="3" t="s">
        <v>20</v>
      </c>
      <c r="B1" s="3" t="s">
        <v>21</v>
      </c>
      <c r="C1" s="3"/>
      <c r="D1" s="3" t="s">
        <v>22</v>
      </c>
      <c r="E1" s="3" t="s">
        <v>23</v>
      </c>
      <c r="F1" s="3" t="s">
        <v>24</v>
      </c>
      <c r="G1" s="3" t="s">
        <v>119</v>
      </c>
      <c r="H1" s="3" t="s">
        <v>33</v>
      </c>
      <c r="I1" s="3" t="s">
        <v>195</v>
      </c>
    </row>
    <row r="2" spans="1:9" x14ac:dyDescent="0.25">
      <c r="A2" t="s">
        <v>0</v>
      </c>
      <c r="B2" t="s">
        <v>25</v>
      </c>
      <c r="D2" t="s">
        <v>0</v>
      </c>
      <c r="E2" t="s">
        <v>28</v>
      </c>
      <c r="F2">
        <v>3</v>
      </c>
      <c r="G2">
        <v>0</v>
      </c>
      <c r="H2" t="s">
        <v>34</v>
      </c>
    </row>
    <row r="3" spans="1:9" x14ac:dyDescent="0.25">
      <c r="A3" t="s">
        <v>1</v>
      </c>
      <c r="B3" t="s">
        <v>25</v>
      </c>
      <c r="D3" t="s">
        <v>39</v>
      </c>
      <c r="E3" t="s">
        <v>27</v>
      </c>
      <c r="F3">
        <v>20</v>
      </c>
      <c r="G3">
        <v>0</v>
      </c>
      <c r="H3" t="s">
        <v>37</v>
      </c>
    </row>
    <row r="4" spans="1:9" ht="90" x14ac:dyDescent="0.25">
      <c r="A4" s="5" t="s">
        <v>2</v>
      </c>
      <c r="B4" s="5"/>
      <c r="C4" s="5"/>
      <c r="D4" s="5" t="s">
        <v>26</v>
      </c>
      <c r="E4" s="5" t="s">
        <v>27</v>
      </c>
      <c r="F4" s="5">
        <v>12</v>
      </c>
      <c r="G4" s="5">
        <v>0</v>
      </c>
      <c r="H4" s="5" t="s">
        <v>35</v>
      </c>
      <c r="I4" s="6" t="s">
        <v>196</v>
      </c>
    </row>
    <row r="5" spans="1:9" x14ac:dyDescent="0.25">
      <c r="A5" s="2" t="s">
        <v>180</v>
      </c>
      <c r="D5" t="s">
        <v>185</v>
      </c>
      <c r="E5" t="s">
        <v>27</v>
      </c>
      <c r="F5">
        <v>241</v>
      </c>
      <c r="G5">
        <v>0</v>
      </c>
      <c r="H5" t="s">
        <v>186</v>
      </c>
    </row>
    <row r="6" spans="1:9" x14ac:dyDescent="0.25">
      <c r="A6" s="2" t="s">
        <v>181</v>
      </c>
      <c r="D6" t="s">
        <v>187</v>
      </c>
      <c r="E6" t="s">
        <v>27</v>
      </c>
      <c r="F6">
        <v>14</v>
      </c>
      <c r="G6">
        <v>0</v>
      </c>
      <c r="H6" t="s">
        <v>191</v>
      </c>
    </row>
    <row r="7" spans="1:9" x14ac:dyDescent="0.25">
      <c r="A7" s="2" t="s">
        <v>182</v>
      </c>
      <c r="D7" t="s">
        <v>188</v>
      </c>
      <c r="E7" t="s">
        <v>27</v>
      </c>
      <c r="F7">
        <v>1</v>
      </c>
      <c r="G7">
        <v>0</v>
      </c>
      <c r="H7" t="s">
        <v>192</v>
      </c>
    </row>
    <row r="8" spans="1:9" x14ac:dyDescent="0.25">
      <c r="A8" s="2" t="s">
        <v>183</v>
      </c>
      <c r="D8" t="s">
        <v>189</v>
      </c>
      <c r="E8" t="s">
        <v>27</v>
      </c>
      <c r="F8">
        <v>14</v>
      </c>
      <c r="G8">
        <v>0</v>
      </c>
      <c r="H8" t="s">
        <v>193</v>
      </c>
    </row>
    <row r="9" spans="1:9" x14ac:dyDescent="0.25">
      <c r="A9" s="2" t="s">
        <v>184</v>
      </c>
      <c r="D9" t="s">
        <v>190</v>
      </c>
      <c r="E9" t="s">
        <v>27</v>
      </c>
      <c r="F9">
        <v>255</v>
      </c>
      <c r="G9">
        <v>0</v>
      </c>
      <c r="H9" t="s">
        <v>194</v>
      </c>
    </row>
    <row r="10" spans="1:9" x14ac:dyDescent="0.25">
      <c r="F10">
        <f>SUM(F2:F9)</f>
        <v>560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6673A-FD7D-4B61-9925-AEF79CD2C154}">
  <dimension ref="A1:H17"/>
  <sheetViews>
    <sheetView workbookViewId="0">
      <selection activeCell="C37" sqref="C37"/>
    </sheetView>
  </sheetViews>
  <sheetFormatPr defaultRowHeight="15" x14ac:dyDescent="0.25"/>
  <cols>
    <col min="1" max="1" width="17.28515625" bestFit="1" customWidth="1"/>
    <col min="4" max="4" width="27" bestFit="1" customWidth="1"/>
    <col min="5" max="5" width="9.5703125" bestFit="1" customWidth="1"/>
    <col min="6" max="6" width="6.42578125" bestFit="1" customWidth="1"/>
    <col min="7" max="7" width="9.42578125" bestFit="1" customWidth="1"/>
    <col min="8" max="8" width="36" bestFit="1" customWidth="1"/>
  </cols>
  <sheetData>
    <row r="1" spans="1:8" x14ac:dyDescent="0.25">
      <c r="A1" s="3" t="s">
        <v>20</v>
      </c>
      <c r="B1" s="3" t="s">
        <v>21</v>
      </c>
      <c r="C1" s="3"/>
      <c r="D1" s="3" t="s">
        <v>22</v>
      </c>
      <c r="E1" s="3" t="s">
        <v>23</v>
      </c>
      <c r="F1" s="3" t="s">
        <v>24</v>
      </c>
      <c r="G1" s="3" t="s">
        <v>119</v>
      </c>
      <c r="H1" s="3" t="s">
        <v>33</v>
      </c>
    </row>
    <row r="2" spans="1:8" x14ac:dyDescent="0.25">
      <c r="A2" t="s">
        <v>0</v>
      </c>
      <c r="B2" t="s">
        <v>25</v>
      </c>
      <c r="D2" t="s">
        <v>0</v>
      </c>
      <c r="E2" t="s">
        <v>28</v>
      </c>
      <c r="F2">
        <v>3</v>
      </c>
      <c r="G2">
        <v>0</v>
      </c>
      <c r="H2" t="s">
        <v>34</v>
      </c>
    </row>
    <row r="3" spans="1:8" x14ac:dyDescent="0.25">
      <c r="A3" t="s">
        <v>197</v>
      </c>
      <c r="B3" t="s">
        <v>25</v>
      </c>
      <c r="D3" t="s">
        <v>157</v>
      </c>
      <c r="E3" t="s">
        <v>27</v>
      </c>
      <c r="F3">
        <v>10</v>
      </c>
      <c r="G3">
        <v>0</v>
      </c>
      <c r="H3" t="s">
        <v>67</v>
      </c>
    </row>
    <row r="4" spans="1:8" x14ac:dyDescent="0.25">
      <c r="A4" t="s">
        <v>72</v>
      </c>
      <c r="D4" t="s">
        <v>72</v>
      </c>
      <c r="E4" t="s">
        <v>60</v>
      </c>
      <c r="F4">
        <v>8</v>
      </c>
      <c r="G4">
        <v>0</v>
      </c>
      <c r="H4" t="s">
        <v>74</v>
      </c>
    </row>
    <row r="5" spans="1:8" x14ac:dyDescent="0.25">
      <c r="A5" t="s">
        <v>86</v>
      </c>
      <c r="D5" t="s">
        <v>86</v>
      </c>
      <c r="E5" t="s">
        <v>27</v>
      </c>
      <c r="F5">
        <v>12</v>
      </c>
      <c r="G5">
        <v>0</v>
      </c>
      <c r="H5" t="s">
        <v>208</v>
      </c>
    </row>
    <row r="6" spans="1:8" x14ac:dyDescent="0.25">
      <c r="A6" t="s">
        <v>73</v>
      </c>
      <c r="D6" t="s">
        <v>209</v>
      </c>
      <c r="E6" t="s">
        <v>81</v>
      </c>
      <c r="F6">
        <v>6</v>
      </c>
      <c r="G6">
        <v>0</v>
      </c>
      <c r="H6" t="s">
        <v>210</v>
      </c>
    </row>
    <row r="7" spans="1:8" x14ac:dyDescent="0.25">
      <c r="A7" t="s">
        <v>198</v>
      </c>
      <c r="D7" t="s">
        <v>221</v>
      </c>
      <c r="E7" t="s">
        <v>27</v>
      </c>
      <c r="F7">
        <v>1</v>
      </c>
      <c r="G7">
        <v>0</v>
      </c>
      <c r="H7" t="s">
        <v>211</v>
      </c>
    </row>
    <row r="8" spans="1:8" x14ac:dyDescent="0.25">
      <c r="A8" t="s">
        <v>199</v>
      </c>
      <c r="D8" t="s">
        <v>222</v>
      </c>
      <c r="E8" t="s">
        <v>60</v>
      </c>
      <c r="F8">
        <v>8</v>
      </c>
      <c r="G8">
        <v>0</v>
      </c>
      <c r="H8" t="s">
        <v>212</v>
      </c>
    </row>
    <row r="9" spans="1:8" x14ac:dyDescent="0.25">
      <c r="A9" t="s">
        <v>200</v>
      </c>
      <c r="D9" t="s">
        <v>223</v>
      </c>
      <c r="E9" t="s">
        <v>27</v>
      </c>
      <c r="F9">
        <v>12</v>
      </c>
      <c r="G9">
        <v>0</v>
      </c>
      <c r="H9" t="s">
        <v>213</v>
      </c>
    </row>
    <row r="10" spans="1:8" x14ac:dyDescent="0.25">
      <c r="A10" t="s">
        <v>201</v>
      </c>
      <c r="D10" t="s">
        <v>224</v>
      </c>
      <c r="E10" t="s">
        <v>81</v>
      </c>
      <c r="F10">
        <v>6</v>
      </c>
      <c r="G10">
        <v>0</v>
      </c>
      <c r="H10" t="s">
        <v>214</v>
      </c>
    </row>
    <row r="11" spans="1:8" x14ac:dyDescent="0.25">
      <c r="A11" t="s">
        <v>202</v>
      </c>
      <c r="D11" t="s">
        <v>225</v>
      </c>
      <c r="E11" t="s">
        <v>31</v>
      </c>
      <c r="F11">
        <v>2</v>
      </c>
      <c r="G11">
        <v>0</v>
      </c>
      <c r="H11" t="s">
        <v>215</v>
      </c>
    </row>
    <row r="12" spans="1:8" x14ac:dyDescent="0.25">
      <c r="A12" t="s">
        <v>203</v>
      </c>
      <c r="D12" t="s">
        <v>226</v>
      </c>
      <c r="E12" t="s">
        <v>27</v>
      </c>
      <c r="F12">
        <v>1</v>
      </c>
      <c r="G12">
        <v>0</v>
      </c>
      <c r="H12" t="s">
        <v>216</v>
      </c>
    </row>
    <row r="13" spans="1:8" x14ac:dyDescent="0.25">
      <c r="A13" t="s">
        <v>204</v>
      </c>
      <c r="D13" t="s">
        <v>227</v>
      </c>
      <c r="E13" t="s">
        <v>27</v>
      </c>
      <c r="F13">
        <v>1</v>
      </c>
      <c r="G13">
        <v>0</v>
      </c>
      <c r="H13" t="s">
        <v>217</v>
      </c>
    </row>
    <row r="14" spans="1:8" x14ac:dyDescent="0.25">
      <c r="A14" t="s">
        <v>205</v>
      </c>
      <c r="D14" t="s">
        <v>228</v>
      </c>
      <c r="E14" t="s">
        <v>27</v>
      </c>
      <c r="F14">
        <v>1</v>
      </c>
      <c r="G14">
        <v>0</v>
      </c>
      <c r="H14" t="s">
        <v>218</v>
      </c>
    </row>
    <row r="15" spans="1:8" x14ac:dyDescent="0.25">
      <c r="A15" t="s">
        <v>206</v>
      </c>
      <c r="D15" t="s">
        <v>229</v>
      </c>
      <c r="E15" t="s">
        <v>27</v>
      </c>
      <c r="F15">
        <v>2</v>
      </c>
      <c r="G15">
        <v>0</v>
      </c>
      <c r="H15" t="s">
        <v>219</v>
      </c>
    </row>
    <row r="16" spans="1:8" x14ac:dyDescent="0.25">
      <c r="A16" t="s">
        <v>207</v>
      </c>
      <c r="D16" t="s">
        <v>230</v>
      </c>
      <c r="E16" t="s">
        <v>27</v>
      </c>
      <c r="F16">
        <v>1</v>
      </c>
      <c r="G16">
        <v>0</v>
      </c>
      <c r="H16" t="s">
        <v>220</v>
      </c>
    </row>
    <row r="17" spans="6:6" x14ac:dyDescent="0.25">
      <c r="F17">
        <f>SUM(F2:F16)</f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3AC7-B6DB-4445-8DDF-2424D71742A2}">
  <dimension ref="A1:H5"/>
  <sheetViews>
    <sheetView workbookViewId="0">
      <selection activeCell="F6" sqref="F6"/>
    </sheetView>
  </sheetViews>
  <sheetFormatPr defaultRowHeight="15" x14ac:dyDescent="0.25"/>
  <cols>
    <col min="1" max="1" width="13.42578125" bestFit="1" customWidth="1"/>
    <col min="2" max="2" width="5.85546875" bestFit="1" customWidth="1"/>
    <col min="4" max="4" width="14.140625" bestFit="1" customWidth="1"/>
    <col min="5" max="5" width="9.5703125" bestFit="1" customWidth="1"/>
    <col min="6" max="6" width="6.42578125" bestFit="1" customWidth="1"/>
    <col min="7" max="7" width="9.42578125" bestFit="1" customWidth="1"/>
    <col min="8" max="8" width="30.7109375" bestFit="1" customWidth="1"/>
  </cols>
  <sheetData>
    <row r="1" spans="1:8" x14ac:dyDescent="0.25">
      <c r="A1" s="3" t="s">
        <v>20</v>
      </c>
      <c r="B1" s="3" t="s">
        <v>21</v>
      </c>
      <c r="C1" s="3"/>
      <c r="D1" s="3" t="s">
        <v>22</v>
      </c>
      <c r="E1" s="3" t="s">
        <v>23</v>
      </c>
      <c r="F1" s="3" t="s">
        <v>24</v>
      </c>
      <c r="G1" s="3" t="s">
        <v>119</v>
      </c>
      <c r="H1" s="3" t="s">
        <v>33</v>
      </c>
    </row>
    <row r="2" spans="1:8" x14ac:dyDescent="0.25">
      <c r="A2" t="s">
        <v>0</v>
      </c>
      <c r="B2" t="s">
        <v>25</v>
      </c>
      <c r="D2" t="s">
        <v>0</v>
      </c>
      <c r="E2" t="s">
        <v>28</v>
      </c>
      <c r="F2">
        <v>3</v>
      </c>
      <c r="G2">
        <v>0</v>
      </c>
      <c r="H2" t="s">
        <v>34</v>
      </c>
    </row>
    <row r="3" spans="1:8" x14ac:dyDescent="0.25">
      <c r="A3" t="s">
        <v>1</v>
      </c>
      <c r="B3" t="s">
        <v>25</v>
      </c>
      <c r="D3" t="s">
        <v>39</v>
      </c>
      <c r="E3" t="s">
        <v>27</v>
      </c>
      <c r="F3">
        <v>20</v>
      </c>
      <c r="G3">
        <v>0</v>
      </c>
      <c r="H3" t="s">
        <v>37</v>
      </c>
    </row>
    <row r="4" spans="1:8" x14ac:dyDescent="0.25">
      <c r="A4" t="s">
        <v>231</v>
      </c>
      <c r="D4" t="s">
        <v>232</v>
      </c>
      <c r="E4" t="s">
        <v>27</v>
      </c>
      <c r="F4">
        <v>40</v>
      </c>
      <c r="G4">
        <v>0</v>
      </c>
      <c r="H4" t="s">
        <v>233</v>
      </c>
    </row>
    <row r="5" spans="1:8" x14ac:dyDescent="0.25">
      <c r="F5">
        <f>SUM(F2:F4)</f>
        <v>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f063bf-ce3a-473c-8609-3866002c85b0}" enabled="1" method="Standard" siteId="{b914a242-e718-443b-a47c-6b4c649d8c0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7</vt:i4>
      </vt:variant>
    </vt:vector>
  </HeadingPairs>
  <TitlesOfParts>
    <vt:vector size="7" baseType="lpstr">
      <vt:lpstr>ZPRT_DOC_LOG</vt:lpstr>
      <vt:lpstr>ZPRT_DCQM</vt:lpstr>
      <vt:lpstr>ZPRT_DOC_SLOG</vt:lpstr>
      <vt:lpstr>ZPRT_DOC_ERROR</vt:lpstr>
      <vt:lpstr>ZPRT_EMAIL_SLOG</vt:lpstr>
      <vt:lpstr>ZPRT_STOCK</vt:lpstr>
      <vt:lpstr>ZPRT_ARC_DOC_MAP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Szabó, Gyula</dc:creator>
  <cp:lastModifiedBy>Szabó, Gyula</cp:lastModifiedBy>
  <dcterms:created xsi:type="dcterms:W3CDTF">2026-10-01T12:24:23Z</dcterms:created>
  <dcterms:modified xsi:type="dcterms:W3CDTF">2026-10-01T21:34:38Z</dcterms:modified>
</cp:coreProperties>
</file>